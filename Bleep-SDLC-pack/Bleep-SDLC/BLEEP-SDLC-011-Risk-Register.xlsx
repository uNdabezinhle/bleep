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Heat" sheetId="2" state="visible" r:id="rId4"/>
  </sheets>
  <definedNames>
    <definedName function="false" hidden="false" localSheetId="0" name="_xlnm.Print_Titles" vbProcedure="false">'Risk register'!$4:$4</definedName>
    <definedName function="false" hidden="true" localSheetId="0" name="_xlnm._FilterDatabase" vbProcedure="false">'Risk register'!$A$4:$J$22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<sst xmlns="http://schemas.openxmlformats.org/spreadsheetml/2006/main" count="148" uniqueCount="106">
  <si>
    <t xml:space="preserve">BLEEP-SDLC-011  ·  Risk register</t>
  </si>
  <si>
    <t xml:space="preserve">Living register. Likelihood and impact 1–5. Score = L×I. Update when TM-001 bumps.</t>
  </si>
  <si>
    <t xml:space="preserve">Risk ID</t>
  </si>
  <si>
    <t xml:space="preserve">Risk</t>
  </si>
  <si>
    <t xml:space="preserve">TM</t>
  </si>
  <si>
    <t xml:space="preserve">L (1-5)</t>
  </si>
  <si>
    <t xml:space="preserve">I (1-5)</t>
  </si>
  <si>
    <t xml:space="preserve">Score</t>
  </si>
  <si>
    <t xml:space="preserve">Stance</t>
  </si>
  <si>
    <t xml:space="preserve">Treatment</t>
  </si>
  <si>
    <t xml:space="preserve">Owner</t>
  </si>
  <si>
    <t xml:space="preserve">Status</t>
  </si>
  <si>
    <t xml:space="preserve">R01</t>
  </si>
  <si>
    <t xml:space="preserve">Relay logs rebuild social graph</t>
  </si>
  <si>
    <t xml:space="preserve">T7</t>
  </si>
  <si>
    <t xml:space="preserve">Close</t>
  </si>
  <si>
    <t xml:space="preserve">No recipient×sender persist; abuse test TV-AB-T7</t>
  </si>
  <si>
    <t xml:space="preserve">Relay eng</t>
  </si>
  <si>
    <t xml:space="preserve">Open</t>
  </si>
  <si>
    <t xml:space="preserve">R02</t>
  </si>
  <si>
    <t xml:space="preserve">Push body names a person</t>
  </si>
  <si>
    <t xml:space="preserve">T10</t>
  </si>
  <si>
    <t xml:space="preserve">Empty FCM template; proxy test</t>
  </si>
  <si>
    <t xml:space="preserve">Client</t>
  </si>
  <si>
    <t xml:space="preserve">R03</t>
  </si>
  <si>
    <t xml:space="preserve">Malicious lookalike APK</t>
  </si>
  <si>
    <t xml:space="preserve">T6</t>
  </si>
  <si>
    <t xml:space="preserve">Mitigate</t>
  </si>
  <si>
    <t xml:space="preserve">Publisher ID, hashes, later reproducible builds</t>
  </si>
  <si>
    <t xml:space="preserve">R04</t>
  </si>
  <si>
    <t xml:space="preserve">US vendor path for bodies</t>
  </si>
  <si>
    <t xml:space="preserve">T19 T23</t>
  </si>
  <si>
    <t xml:space="preserve">No cloud model; no US-only body pipe</t>
  </si>
  <si>
    <t xml:space="preserve">Security</t>
  </si>
  <si>
    <t xml:space="preserve">R05</t>
  </si>
  <si>
    <t xml:space="preserve">Unlocked stolen phone</t>
  </si>
  <si>
    <t xml:space="preserve">T14</t>
  </si>
  <si>
    <t xml:space="preserve">Accept</t>
  </si>
  <si>
    <t xml:space="preserve">Lock, disappearing, Chamber burn; honest copy</t>
  </si>
  <si>
    <t xml:space="preserve">Product</t>
  </si>
  <si>
    <t xml:space="preserve">Accepted</t>
  </si>
  <si>
    <t xml:space="preserve">R06</t>
  </si>
  <si>
    <t xml:space="preserve">Peer screenshot / forward</t>
  </si>
  <si>
    <t xml:space="preserve">T16 T17</t>
  </si>
  <si>
    <t xml:space="preserve">Honest UI; no DRM claims</t>
  </si>
  <si>
    <t xml:space="preserve">R07</t>
  </si>
  <si>
    <t xml:space="preserve">PIN coercion / fake vault demand</t>
  </si>
  <si>
    <t xml:space="preserve">T15</t>
  </si>
  <si>
    <t xml:space="preserve">No decoy Chamber in v1</t>
  </si>
  <si>
    <t xml:space="preserve">R08</t>
  </si>
  <si>
    <t xml:space="preserve">Device malware</t>
  </si>
  <si>
    <t xml:space="preserve">A7</t>
  </si>
  <si>
    <t xml:space="preserve">OS hygiene warning only</t>
  </si>
  <si>
    <t xml:space="preserve">R09</t>
  </si>
  <si>
    <t xml:space="preserve">Export emailed plaintext</t>
  </si>
  <si>
    <t xml:space="preserve">T18</t>
  </si>
  <si>
    <t xml:space="preserve">Forced passphrase</t>
  </si>
  <si>
    <t xml:space="preserve">R10</t>
  </si>
  <si>
    <t xml:space="preserve">Group fan-out metadata</t>
  </si>
  <si>
    <t xml:space="preserve">T7 residual</t>
  </si>
  <si>
    <t xml:space="preserve">Small groups only; document residual</t>
  </si>
  <si>
    <t xml:space="preserve">Protocol</t>
  </si>
  <si>
    <t xml:space="preserve">R11</t>
  </si>
  <si>
    <t xml:space="preserve">Traffic analysis</t>
  </si>
  <si>
    <t xml:space="preserve">A10 A2</t>
  </si>
  <si>
    <t xml:space="preserve">No onion in v1; do not claim otherwise</t>
  </si>
  <si>
    <t xml:space="preserve">R12</t>
  </si>
  <si>
    <t xml:space="preserve">Chamber treated as PWA</t>
  </si>
  <si>
    <t xml:space="preserve">FC-001 NEVER; architecture review</t>
  </si>
  <si>
    <t xml:space="preserve">R13</t>
  </si>
  <si>
    <t xml:space="preserve">Guardian phone-home for safety</t>
  </si>
  <si>
    <t xml:space="preserve">T1 T23</t>
  </si>
  <si>
    <t xml:space="preserve">Radio-off test; no model API</t>
  </si>
  <si>
    <t xml:space="preserve">R14</t>
  </si>
  <si>
    <t xml:space="preserve">Silent region roam</t>
  </si>
  <si>
    <t xml:space="preserve">T21</t>
  </si>
  <si>
    <t xml:space="preserve">Fail closed; chip visible</t>
  </si>
  <si>
    <t xml:space="preserve">Relay</t>
  </si>
  <si>
    <t xml:space="preserve">R15</t>
  </si>
  <si>
    <t xml:space="preserve">Name-collision apps in stores</t>
  </si>
  <si>
    <t xml:space="preserve">TM §10</t>
  </si>
  <si>
    <t xml:space="preserve">Exact publisher + safety-number culture</t>
  </si>
  <si>
    <t xml:space="preserve">R16</t>
  </si>
  <si>
    <t xml:space="preserve">ZA demand for metadata</t>
  </si>
  <si>
    <t xml:space="preserve">T20</t>
  </si>
  <si>
    <t xml:space="preserve">Minimise; LE guide; Information Officer</t>
  </si>
  <si>
    <t xml:space="preserve">Counsel</t>
  </si>
  <si>
    <t xml:space="preserve">R17</t>
  </si>
  <si>
    <t xml:space="preserve">Support tool grows a decrypt</t>
  </si>
  <si>
    <t xml:space="preserve">STRIDE EoP</t>
  </si>
  <si>
    <t xml:space="preserve">No key exists; change control SDLC-009</t>
  </si>
  <si>
    <t xml:space="preserve">Ops</t>
  </si>
  <si>
    <t xml:space="preserve">R18</t>
  </si>
  <si>
    <t xml:space="preserve">Mid-range perf / data cost kills retention</t>
  </si>
  <si>
    <t xml:space="preserve">Goal 5.2</t>
  </si>
  <si>
    <t xml:space="preserve">Low Data; voice-note first; Loop 1 freeze</t>
  </si>
  <si>
    <t xml:space="preserve">Risk count</t>
  </si>
  <si>
    <t xml:space="preserve">Average score</t>
  </si>
  <si>
    <t xml:space="preserve">Max score</t>
  </si>
  <si>
    <t xml:space="preserve">Open or mitigate count</t>
  </si>
  <si>
    <t xml:space="preserve">Score distribution</t>
  </si>
  <si>
    <t xml:space="preserve">Band</t>
  </si>
  <si>
    <t xml:space="preserve">Count</t>
  </si>
  <si>
    <t xml:space="preserve">Low (1-8)</t>
  </si>
  <si>
    <t xml:space="preserve">Medium (9-15)</t>
  </si>
  <si>
    <t xml:space="preserve">High (16-25)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</si>
</sst>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917"/>
      <name val="Arial"/>
      <family val="0"/>
      <charset val="1"/>
    </font>
    <font>
      <i val="true"/>
      <sz val="10"/>
      <color rgb="FF5C53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C191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C1917"/>
        <bgColor rgb="FF000000"/>
      </patternFill>
    </fill>
    <fill>
      <patternFill patternType="solid">
        <fgColor rgb="FFE7F0E6"/>
        <bgColor rgb="FFE8EEF4"/>
      </patternFill>
    </fill>
    <fill>
      <patternFill patternType="solid">
        <fgColor rgb="FFE8EEF4"/>
        <bgColor rgb="FFE7F0E6"/>
      </patternFill>
    </fill>
    <fill>
      <patternFill patternType="solid">
        <fgColor rgb="FFF6E4E0"/>
        <bgColor rgb="FFE7F0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C4B0"/>
      </left>
      <right style="thin">
        <color rgb="FFD4C4B0"/>
      </right>
      <top style="thin">
        <color rgb="FFD4C4B0"/>
      </top>
      <bottom style="thin">
        <color rgb="FFD4C4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C191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F0E6"/>
          <bgColor rgb="FF000000"/>
        </patternFill>
      </fill>
    </dxf>
    <dxf>
      <fill>
        <patternFill patternType="solid">
          <fgColor rgb="FFE8EEF4"/>
          <bgColor rgb="FF000000"/>
        </patternFill>
      </fill>
    </dxf>
    <dxf>
      <fill>
        <patternFill patternType="solid">
          <fgColor rgb="FFF6E4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C4B0"/>
      <rgbColor rgb="FF878787"/>
      <rgbColor rgb="FF9999FF"/>
      <rgbColor rgb="FF993366"/>
      <rgbColor rgb="FFF9F9F9"/>
      <rgbColor rgb="FFE8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0E6"/>
      <rgbColor rgb="FFCCFFCC"/>
      <rgbColor rgb="FFFFFF99"/>
      <rgbColor rgb="FF99CCFF"/>
      <rgbColor rgb="FFFF99CC"/>
      <rgbColor rgb="FFCC99FF"/>
      <rgbColor rgb="FFF6E4E0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1C1917"/>
      <rgbColor rgb="FF993300"/>
      <rgbColor rgb="FF993366"/>
      <rgbColor rgb="FF333399"/>
      <rgbColor rgb="FF5C53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Risks by score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Heat!B3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Heat!$A$4:$A$6</c:f>
              <c:strCache>
                <c:ptCount val="3"/>
                <c:pt idx="0">
                  <c:v>Low (1-8)</c:v>
                </c:pt>
                <c:pt idx="1">
                  <c:v>Medium (9-15)</c:v>
                </c:pt>
                <c:pt idx="2">
                  <c:v>High (16-25)</c:v>
                </c:pt>
              </c:strCache>
            </c:strRef>
          </c:cat>
          <c:val>
            <c:numRef>
              <c:f>Heat!$B$4:$B$6</c:f>
              <c:numCache>
                <c:formatCode>General</c:formatCode>
                <c:ptCount val="3"/>
                <c:pt idx="0">
                  <c:v>1</c:v>
                </c:pt>
                <c:pt idx="1">
                  <c:v>15</c:v>
                </c:pt>
                <c:pt idx="2">
                  <c:v>2</c:v>
                </c:pt>
              </c:numCache>
            </c:numRef>
          </c:val>
        </c:ser>
        <c:gapWidth val="150"/>
        <c:overlap val="0"/>
        <c:axId val="36132428"/>
        <c:axId val="84003129"/>
      </c:barChart>
      <c:catAx>
        <c:axId val="361324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03129"/>
        <c:crosses val="autoZero"/>
        <c:auto val="1"/>
        <c:lblAlgn val="ctr"/>
        <c:lblOffset val="100"/>
        <c:noMultiLvlLbl val="0"/>
      </c:catAx>
      <c:valAx>
        <c:axId val="840031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324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130680</xdr:rowOff>
    </xdr:from>
    <xdr:to>
      <xdr:col>11</xdr:col>
      <xdr:colOff>507600</xdr:colOff>
      <xdr:row>15</xdr:row>
      <xdr:rowOff>163440</xdr:rowOff>
    </xdr:to>
    <xdr:graphicFrame>
      <xdr:nvGraphicFramePr>
        <xdr:cNvPr id="0" name="Chart 1"/>
        <xdr:cNvGraphicFramePr/>
      </xdr:nvGraphicFramePr>
      <xdr:xfrm>
        <a:off x="300816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42"/>
    <col collapsed="false" customWidth="true" hidden="false" outlineLevel="0" max="10" min="9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14</v>
      </c>
      <c r="D5" s="5" t="n">
        <v>3</v>
      </c>
      <c r="E5" s="5" t="n">
        <v>5</v>
      </c>
      <c r="F5" s="6" t="n">
        <f aca="false">D5*E5</f>
        <v>15</v>
      </c>
      <c r="G5" s="7" t="s">
        <v>15</v>
      </c>
      <c r="H5" s="4" t="s">
        <v>16</v>
      </c>
      <c r="I5" s="4" t="s">
        <v>17</v>
      </c>
      <c r="J5" s="4" t="s">
        <v>18</v>
      </c>
    </row>
    <row r="6" customFormat="false" ht="15" hidden="false" customHeight="false" outlineLevel="0" collapsed="false">
      <c r="A6" s="4" t="s">
        <v>19</v>
      </c>
      <c r="B6" s="4" t="s">
        <v>20</v>
      </c>
      <c r="C6" s="4" t="s">
        <v>21</v>
      </c>
      <c r="D6" s="5" t="n">
        <v>3</v>
      </c>
      <c r="E6" s="5" t="n">
        <v>4</v>
      </c>
      <c r="F6" s="6" t="n">
        <f aca="false">D6*E6</f>
        <v>12</v>
      </c>
      <c r="G6" s="7" t="s">
        <v>15</v>
      </c>
      <c r="H6" s="4" t="s">
        <v>22</v>
      </c>
      <c r="I6" s="4" t="s">
        <v>23</v>
      </c>
      <c r="J6" s="4" t="s">
        <v>18</v>
      </c>
    </row>
    <row r="7" customFormat="false" ht="15" hidden="false" customHeight="false" outlineLevel="0" collapsed="false">
      <c r="A7" s="4" t="s">
        <v>24</v>
      </c>
      <c r="B7" s="4" t="s">
        <v>25</v>
      </c>
      <c r="C7" s="4" t="s">
        <v>26</v>
      </c>
      <c r="D7" s="5" t="n">
        <v>4</v>
      </c>
      <c r="E7" s="5" t="n">
        <v>5</v>
      </c>
      <c r="F7" s="6" t="n">
        <f aca="false">D7*E7</f>
        <v>20</v>
      </c>
      <c r="G7" s="8" t="s">
        <v>27</v>
      </c>
      <c r="H7" s="4" t="s">
        <v>28</v>
      </c>
      <c r="I7" s="4" t="s">
        <v>23</v>
      </c>
      <c r="J7" s="4" t="s">
        <v>18</v>
      </c>
    </row>
    <row r="8" customFormat="false" ht="15" hidden="false" customHeight="false" outlineLevel="0" collapsed="false">
      <c r="A8" s="4" t="s">
        <v>29</v>
      </c>
      <c r="B8" s="4" t="s">
        <v>30</v>
      </c>
      <c r="C8" s="4" t="s">
        <v>31</v>
      </c>
      <c r="D8" s="5" t="n">
        <v>2</v>
      </c>
      <c r="E8" s="5" t="n">
        <v>5</v>
      </c>
      <c r="F8" s="6" t="n">
        <f aca="false">D8*E8</f>
        <v>10</v>
      </c>
      <c r="G8" s="7" t="s">
        <v>15</v>
      </c>
      <c r="H8" s="4" t="s">
        <v>32</v>
      </c>
      <c r="I8" s="4" t="s">
        <v>33</v>
      </c>
      <c r="J8" s="4" t="s">
        <v>18</v>
      </c>
    </row>
    <row r="9" customFormat="false" ht="15" hidden="false" customHeight="false" outlineLevel="0" collapsed="false">
      <c r="A9" s="4" t="s">
        <v>34</v>
      </c>
      <c r="B9" s="4" t="s">
        <v>35</v>
      </c>
      <c r="C9" s="4" t="s">
        <v>36</v>
      </c>
      <c r="D9" s="5" t="n">
        <v>4</v>
      </c>
      <c r="E9" s="5" t="n">
        <v>5</v>
      </c>
      <c r="F9" s="6" t="n">
        <f aca="false">D9*E9</f>
        <v>20</v>
      </c>
      <c r="G9" s="9" t="s">
        <v>37</v>
      </c>
      <c r="H9" s="4" t="s">
        <v>38</v>
      </c>
      <c r="I9" s="4" t="s">
        <v>39</v>
      </c>
      <c r="J9" s="4" t="s">
        <v>40</v>
      </c>
    </row>
    <row r="10" customFormat="false" ht="15" hidden="false" customHeight="false" outlineLevel="0" collapsed="false">
      <c r="A10" s="4" t="s">
        <v>41</v>
      </c>
      <c r="B10" s="4" t="s">
        <v>42</v>
      </c>
      <c r="C10" s="4" t="s">
        <v>43</v>
      </c>
      <c r="D10" s="5" t="n">
        <v>5</v>
      </c>
      <c r="E10" s="5" t="n">
        <v>3</v>
      </c>
      <c r="F10" s="6" t="n">
        <f aca="false">D10*E10</f>
        <v>15</v>
      </c>
      <c r="G10" s="9" t="s">
        <v>37</v>
      </c>
      <c r="H10" s="4" t="s">
        <v>44</v>
      </c>
      <c r="I10" s="4" t="s">
        <v>39</v>
      </c>
      <c r="J10" s="4" t="s">
        <v>40</v>
      </c>
    </row>
    <row r="11" customFormat="false" ht="15" hidden="false" customHeight="false" outlineLevel="0" collapsed="false">
      <c r="A11" s="4" t="s">
        <v>45</v>
      </c>
      <c r="B11" s="4" t="s">
        <v>46</v>
      </c>
      <c r="C11" s="4" t="s">
        <v>47</v>
      </c>
      <c r="D11" s="5" t="n">
        <v>3</v>
      </c>
      <c r="E11" s="5" t="n">
        <v>4</v>
      </c>
      <c r="F11" s="6" t="n">
        <f aca="false">D11*E11</f>
        <v>12</v>
      </c>
      <c r="G11" s="9" t="s">
        <v>37</v>
      </c>
      <c r="H11" s="4" t="s">
        <v>48</v>
      </c>
      <c r="I11" s="4" t="s">
        <v>39</v>
      </c>
      <c r="J11" s="4" t="s">
        <v>40</v>
      </c>
    </row>
    <row r="12" customFormat="false" ht="15" hidden="false" customHeight="false" outlineLevel="0" collapsed="false">
      <c r="A12" s="4" t="s">
        <v>49</v>
      </c>
      <c r="B12" s="4" t="s">
        <v>50</v>
      </c>
      <c r="C12" s="4" t="s">
        <v>51</v>
      </c>
      <c r="D12" s="5" t="n">
        <v>3</v>
      </c>
      <c r="E12" s="5" t="n">
        <v>5</v>
      </c>
      <c r="F12" s="6" t="n">
        <f aca="false">D12*E12</f>
        <v>15</v>
      </c>
      <c r="G12" s="9" t="s">
        <v>37</v>
      </c>
      <c r="H12" s="4" t="s">
        <v>52</v>
      </c>
      <c r="I12" s="4" t="s">
        <v>33</v>
      </c>
      <c r="J12" s="4" t="s">
        <v>40</v>
      </c>
    </row>
    <row r="13" customFormat="false" ht="15" hidden="false" customHeight="false" outlineLevel="0" collapsed="false">
      <c r="A13" s="4" t="s">
        <v>53</v>
      </c>
      <c r="B13" s="4" t="s">
        <v>54</v>
      </c>
      <c r="C13" s="4" t="s">
        <v>55</v>
      </c>
      <c r="D13" s="5" t="n">
        <v>3</v>
      </c>
      <c r="E13" s="5" t="n">
        <v>4</v>
      </c>
      <c r="F13" s="6" t="n">
        <f aca="false">D13*E13</f>
        <v>12</v>
      </c>
      <c r="G13" s="7" t="s">
        <v>15</v>
      </c>
      <c r="H13" s="4" t="s">
        <v>56</v>
      </c>
      <c r="I13" s="4" t="s">
        <v>23</v>
      </c>
      <c r="J13" s="4" t="s">
        <v>18</v>
      </c>
    </row>
    <row r="14" customFormat="false" ht="15" hidden="false" customHeight="false" outlineLevel="0" collapsed="false">
      <c r="A14" s="4" t="s">
        <v>57</v>
      </c>
      <c r="B14" s="4" t="s">
        <v>58</v>
      </c>
      <c r="C14" s="4" t="s">
        <v>59</v>
      </c>
      <c r="D14" s="5" t="n">
        <v>4</v>
      </c>
      <c r="E14" s="5" t="n">
        <v>3</v>
      </c>
      <c r="F14" s="6" t="n">
        <f aca="false">D14*E14</f>
        <v>12</v>
      </c>
      <c r="G14" s="8" t="s">
        <v>27</v>
      </c>
      <c r="H14" s="4" t="s">
        <v>60</v>
      </c>
      <c r="I14" s="4" t="s">
        <v>61</v>
      </c>
      <c r="J14" s="4" t="s">
        <v>18</v>
      </c>
    </row>
    <row r="15" customFormat="false" ht="15" hidden="false" customHeight="false" outlineLevel="0" collapsed="false">
      <c r="A15" s="4" t="s">
        <v>62</v>
      </c>
      <c r="B15" s="4" t="s">
        <v>63</v>
      </c>
      <c r="C15" s="4" t="s">
        <v>64</v>
      </c>
      <c r="D15" s="5" t="n">
        <v>4</v>
      </c>
      <c r="E15" s="5" t="n">
        <v>3</v>
      </c>
      <c r="F15" s="6" t="n">
        <f aca="false">D15*E15</f>
        <v>12</v>
      </c>
      <c r="G15" s="9" t="s">
        <v>37</v>
      </c>
      <c r="H15" s="4" t="s">
        <v>65</v>
      </c>
      <c r="I15" s="4" t="s">
        <v>33</v>
      </c>
      <c r="J15" s="4" t="s">
        <v>40</v>
      </c>
    </row>
    <row r="16" customFormat="false" ht="15" hidden="false" customHeight="false" outlineLevel="0" collapsed="false">
      <c r="A16" s="4" t="s">
        <v>66</v>
      </c>
      <c r="B16" s="4" t="s">
        <v>67</v>
      </c>
      <c r="C16" s="4" t="s">
        <v>26</v>
      </c>
      <c r="D16" s="5" t="n">
        <v>2</v>
      </c>
      <c r="E16" s="5" t="n">
        <v>5</v>
      </c>
      <c r="F16" s="6" t="n">
        <f aca="false">D16*E16</f>
        <v>10</v>
      </c>
      <c r="G16" s="7" t="s">
        <v>15</v>
      </c>
      <c r="H16" s="4" t="s">
        <v>68</v>
      </c>
      <c r="I16" s="4" t="s">
        <v>39</v>
      </c>
      <c r="J16" s="4" t="s">
        <v>18</v>
      </c>
    </row>
    <row r="17" customFormat="false" ht="15" hidden="false" customHeight="false" outlineLevel="0" collapsed="false">
      <c r="A17" s="4" t="s">
        <v>69</v>
      </c>
      <c r="B17" s="4" t="s">
        <v>70</v>
      </c>
      <c r="C17" s="4" t="s">
        <v>71</v>
      </c>
      <c r="D17" s="5" t="n">
        <v>2</v>
      </c>
      <c r="E17" s="5" t="n">
        <v>5</v>
      </c>
      <c r="F17" s="6" t="n">
        <f aca="false">D17*E17</f>
        <v>10</v>
      </c>
      <c r="G17" s="7" t="s">
        <v>15</v>
      </c>
      <c r="H17" s="4" t="s">
        <v>72</v>
      </c>
      <c r="I17" s="4" t="s">
        <v>33</v>
      </c>
      <c r="J17" s="4" t="s">
        <v>18</v>
      </c>
    </row>
    <row r="18" customFormat="false" ht="15" hidden="false" customHeight="false" outlineLevel="0" collapsed="false">
      <c r="A18" s="4" t="s">
        <v>73</v>
      </c>
      <c r="B18" s="4" t="s">
        <v>74</v>
      </c>
      <c r="C18" s="4" t="s">
        <v>75</v>
      </c>
      <c r="D18" s="5" t="n">
        <v>2</v>
      </c>
      <c r="E18" s="5" t="n">
        <v>4</v>
      </c>
      <c r="F18" s="6" t="n">
        <f aca="false">D18*E18</f>
        <v>8</v>
      </c>
      <c r="G18" s="7" t="s">
        <v>15</v>
      </c>
      <c r="H18" s="4" t="s">
        <v>76</v>
      </c>
      <c r="I18" s="4" t="s">
        <v>77</v>
      </c>
      <c r="J18" s="4" t="s">
        <v>18</v>
      </c>
    </row>
    <row r="19" customFormat="false" ht="15" hidden="false" customHeight="false" outlineLevel="0" collapsed="false">
      <c r="A19" s="4" t="s">
        <v>78</v>
      </c>
      <c r="B19" s="4" t="s">
        <v>79</v>
      </c>
      <c r="C19" s="4" t="s">
        <v>80</v>
      </c>
      <c r="D19" s="5" t="n">
        <v>3</v>
      </c>
      <c r="E19" s="5" t="n">
        <v>4</v>
      </c>
      <c r="F19" s="6" t="n">
        <f aca="false">D19*E19</f>
        <v>12</v>
      </c>
      <c r="G19" s="8" t="s">
        <v>27</v>
      </c>
      <c r="H19" s="4" t="s">
        <v>81</v>
      </c>
      <c r="I19" s="4" t="s">
        <v>39</v>
      </c>
      <c r="J19" s="4" t="s">
        <v>18</v>
      </c>
    </row>
    <row r="20" customFormat="false" ht="15" hidden="false" customHeight="false" outlineLevel="0" collapsed="false">
      <c r="A20" s="4" t="s">
        <v>82</v>
      </c>
      <c r="B20" s="4" t="s">
        <v>83</v>
      </c>
      <c r="C20" s="4" t="s">
        <v>84</v>
      </c>
      <c r="D20" s="5" t="n">
        <v>3</v>
      </c>
      <c r="E20" s="5" t="n">
        <v>3</v>
      </c>
      <c r="F20" s="6" t="n">
        <f aca="false">D20*E20</f>
        <v>9</v>
      </c>
      <c r="G20" s="8" t="s">
        <v>27</v>
      </c>
      <c r="H20" s="4" t="s">
        <v>85</v>
      </c>
      <c r="I20" s="4" t="s">
        <v>86</v>
      </c>
      <c r="J20" s="4" t="s">
        <v>18</v>
      </c>
    </row>
    <row r="21" customFormat="false" ht="15" hidden="false" customHeight="false" outlineLevel="0" collapsed="false">
      <c r="A21" s="4" t="s">
        <v>87</v>
      </c>
      <c r="B21" s="4" t="s">
        <v>88</v>
      </c>
      <c r="C21" s="4" t="s">
        <v>89</v>
      </c>
      <c r="D21" s="5" t="n">
        <v>2</v>
      </c>
      <c r="E21" s="5" t="n">
        <v>5</v>
      </c>
      <c r="F21" s="6" t="n">
        <f aca="false">D21*E21</f>
        <v>10</v>
      </c>
      <c r="G21" s="7" t="s">
        <v>15</v>
      </c>
      <c r="H21" s="4" t="s">
        <v>90</v>
      </c>
      <c r="I21" s="4" t="s">
        <v>91</v>
      </c>
      <c r="J21" s="4" t="s">
        <v>18</v>
      </c>
    </row>
    <row r="22" customFormat="false" ht="15" hidden="false" customHeight="false" outlineLevel="0" collapsed="false">
      <c r="A22" s="4" t="s">
        <v>92</v>
      </c>
      <c r="B22" s="4" t="s">
        <v>93</v>
      </c>
      <c r="C22" s="4" t="s">
        <v>94</v>
      </c>
      <c r="D22" s="5" t="n">
        <v>3</v>
      </c>
      <c r="E22" s="5" t="n">
        <v>4</v>
      </c>
      <c r="F22" s="6" t="n">
        <f aca="false">D22*E22</f>
        <v>12</v>
      </c>
      <c r="G22" s="8" t="s">
        <v>27</v>
      </c>
      <c r="H22" s="4" t="s">
        <v>95</v>
      </c>
      <c r="I22" s="4" t="s">
        <v>23</v>
      </c>
      <c r="J22" s="4" t="s">
        <v>18</v>
      </c>
    </row>
    <row r="24" customFormat="false" ht="15" hidden="false" customHeight="false" outlineLevel="0" collapsed="false">
      <c r="A24" s="10" t="s">
        <v>96</v>
      </c>
      <c r="B24" s="11" t="n">
        <f aca="false">COUNTA(A5:A22)</f>
        <v>18</v>
      </c>
    </row>
    <row r="25" customFormat="false" ht="15" hidden="false" customHeight="false" outlineLevel="0" collapsed="false">
      <c r="A25" s="10" t="s">
        <v>97</v>
      </c>
      <c r="B25" s="11" t="n">
        <f aca="false">AVERAGE(F5:F22)</f>
        <v>12.5555555555556</v>
      </c>
    </row>
    <row r="26" customFormat="false" ht="15" hidden="false" customHeight="false" outlineLevel="0" collapsed="false">
      <c r="A26" s="10" t="s">
        <v>98</v>
      </c>
      <c r="B26" s="11" t="n">
        <f aca="false">MAX(F5:F22)</f>
        <v>20</v>
      </c>
    </row>
    <row r="27" customFormat="false" ht="15" hidden="false" customHeight="false" outlineLevel="0" collapsed="false">
      <c r="A27" s="10" t="s">
        <v>99</v>
      </c>
      <c r="B27" s="11" t="n">
        <f aca="false">COUNTIF(G5:G22,"Close")+COUNTIF(G5:G22,"Mitigate")</f>
        <v>13</v>
      </c>
    </row>
  </sheetData>
  <autoFilter ref="A4:J22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&amp;LBLEEP-SDLC-011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</cols>
  <sheetData>
    <row r="1" customFormat="false" ht="19.7" hidden="false" customHeight="false" outlineLevel="0" collapsed="false">
      <c r="A1" s="12" t="s">
        <v>100</v>
      </c>
    </row>
    <row r="3" customFormat="false" ht="15" hidden="false" customHeight="false" outlineLevel="0" collapsed="false">
      <c r="A3" s="3" t="s">
        <v>101</v>
      </c>
      <c r="B3" s="3" t="s">
        <v>102</v>
      </c>
    </row>
    <row r="4" customFormat="false" ht="15" hidden="false" customHeight="false" outlineLevel="0" collapsed="false">
      <c r="A4" s="13" t="s">
        <v>103</v>
      </c>
      <c r="B4" s="14" t="n">
        <f aca="false">COUNTIFS('Risk register'!F5:F22,"&gt;=1",'Risk register'!F5:F22,"&lt;=8")</f>
        <v>1</v>
      </c>
    </row>
    <row r="5" customFormat="false" ht="15" hidden="false" customHeight="false" outlineLevel="0" collapsed="false">
      <c r="A5" s="13" t="s">
        <v>104</v>
      </c>
      <c r="B5" s="14" t="n">
        <f aca="false">COUNTIFS('Risk register'!F5:F22,"&gt;=9",'Risk register'!F5:F22,"&lt;=15")</f>
        <v>15</v>
      </c>
    </row>
    <row r="6" customFormat="false" ht="15" hidden="false" customHeight="false" outlineLevel="0" collapsed="false">
      <c r="A6" s="13" t="s">
        <v>105</v>
      </c>
      <c r="B6" s="14" t="n">
        <f aca="false">COUNTIFS('Risk register'!F5:F22,"&gt;=16",'Risk register'!F5:F22,"&lt;=25")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2026-08-31T09:43:39Z</dcterms:created>
  <dc:creator>openpyxl</dc:creator>
  <dc:description/>
  <dc:language>en-US</dc:language>
  <cp:lastModifiedBy/>
  <dcterms:modified xsi:type="dcterms:W3CDTF">2026-08-31T09:44:02Z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