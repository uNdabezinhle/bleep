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" sheetId="1" state="visible" r:id="rId3"/>
    <sheet name="Verdict summary" sheetId="2" state="visible" r:id="rId4"/>
  </sheets>
  <definedNames>
    <definedName function="false" hidden="false" localSheetId="0" name="_xlnm.Print_Titles" vbProcedure="false">Traceability!$4:$4</definedName>
    <definedName function="false" hidden="true" localSheetId="0" name="_xlnm._FilterDatabase" vbProcedure="false">Traceability!$A$4:$H$29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<sst xmlns="http://schemas.openxmlformats.org/spreadsheetml/2006/main" count="200" uniqueCount="124">
  <si>
    <t xml:space="preserve">BLEEP-SDLC-010  ·  Requirements traceability</t>
  </si>
  <si>
    <t xml:space="preserve">Personal Bleep v1  ·  31 August 2026  ·  Parents TM-001 v0.1 + FC-001 v0.3  ·  Count formulas live on this sheet</t>
  </si>
  <si>
    <t xml:space="preserve">Req ID</t>
  </si>
  <si>
    <t xml:space="preserve">Feature</t>
  </si>
  <si>
    <t xml:space="preserve">Verdict</t>
  </si>
  <si>
    <t xml:space="preserve">TM IDs</t>
  </si>
  <si>
    <t xml:space="preserve">SRS section</t>
  </si>
  <si>
    <t xml:space="preserve">Loop</t>
  </si>
  <si>
    <t xml:space="preserve">Test IDs</t>
  </si>
  <si>
    <t xml:space="preserve">Gate</t>
  </si>
  <si>
    <t xml:space="preserve">ID-01</t>
  </si>
  <si>
    <t xml:space="preserve">Create Bleep ID without phone</t>
  </si>
  <si>
    <t xml:space="preserve">SHIP</t>
  </si>
  <si>
    <t xml:space="preserve">T8 T2 T4 T13</t>
  </si>
  <si>
    <t xml:space="preserve">SRS §2</t>
  </si>
  <si>
    <t xml:space="preserve">TV-L1-01</t>
  </si>
  <si>
    <t xml:space="preserve">G2</t>
  </si>
  <si>
    <t xml:space="preserve">ID-02</t>
  </si>
  <si>
    <t xml:space="preserve">Add by QR / Bleep code + request-to-message</t>
  </si>
  <si>
    <t xml:space="preserve">T9 T8 T24</t>
  </si>
  <si>
    <t xml:space="preserve">ID-03</t>
  </si>
  <si>
    <t xml:space="preserve">Address-book sync</t>
  </si>
  <si>
    <t xml:space="preserve">NEVER</t>
  </si>
  <si>
    <t xml:space="preserve">T9 T7 T8 T2</t>
  </si>
  <si>
    <t xml:space="preserve">TV-AB-T7</t>
  </si>
  <si>
    <t xml:space="preserve">G0</t>
  </si>
  <si>
    <t xml:space="preserve">ID-04</t>
  </si>
  <si>
    <t xml:space="preserve">Safety number blocking warning</t>
  </si>
  <si>
    <t xml:space="preserve">T5 T3</t>
  </si>
  <si>
    <t xml:space="preserve">TV-L2-04</t>
  </si>
  <si>
    <t xml:space="preserve">MSG-01</t>
  </si>
  <si>
    <t xml:space="preserve">Sealed 1:1 text / photo / voice note</t>
  </si>
  <si>
    <t xml:space="preserve">T1 T3 T4 T5 T25</t>
  </si>
  <si>
    <t xml:space="preserve">SRS §3</t>
  </si>
  <si>
    <t xml:space="preserve">TV-L1-01 TV-L1-02</t>
  </si>
  <si>
    <t xml:space="preserve">G3</t>
  </si>
  <si>
    <t xml:space="preserve">MSG-02</t>
  </si>
  <si>
    <t xml:space="preserve">Last seen / online</t>
  </si>
  <si>
    <t xml:space="preserve">T12 T7 T2</t>
  </si>
  <si>
    <t xml:space="preserve">MSG-03</t>
  </si>
  <si>
    <t xml:space="preserve">E2EE receipts/typing optional</t>
  </si>
  <si>
    <t xml:space="preserve">CONSTRAINED</t>
  </si>
  <si>
    <t xml:space="preserve">T12 T2 T7</t>
  </si>
  <si>
    <t xml:space="preserve">MSG-04</t>
  </si>
  <si>
    <t xml:space="preserve">Disappearing messages</t>
  </si>
  <si>
    <t xml:space="preserve">T14 T16 T17 T1</t>
  </si>
  <si>
    <t xml:space="preserve">MED-01</t>
  </si>
  <si>
    <t xml:space="preserve">No GIF CDN / no cloud STT</t>
  </si>
  <si>
    <t xml:space="preserve">T23 T7 T19</t>
  </si>
  <si>
    <t xml:space="preserve">SRS §4</t>
  </si>
  <si>
    <t xml:space="preserve">TV-AB-G</t>
  </si>
  <si>
    <t xml:space="preserve">CALL-01</t>
  </si>
  <si>
    <t xml:space="preserve">1:1 voice/video P2P then in-region TURN</t>
  </si>
  <si>
    <t xml:space="preserve">T1 T7 T21 T19</t>
  </si>
  <si>
    <t xml:space="preserve">TV-L2-03</t>
  </si>
  <si>
    <t xml:space="preserve">GRP-01</t>
  </si>
  <si>
    <t xml:space="preserve">Small groups explicit join</t>
  </si>
  <si>
    <t xml:space="preserve">T1 T5 T7 T27</t>
  </si>
  <si>
    <t xml:space="preserve">TV-L2-01</t>
  </si>
  <si>
    <t xml:space="preserve">GRP-02</t>
  </si>
  <si>
    <t xml:space="preserve">Status sealed to accepted peers</t>
  </si>
  <si>
    <t xml:space="preserve">T1 T7 T14 T16 T21</t>
  </si>
  <si>
    <t xml:space="preserve">TV-L2-02</t>
  </si>
  <si>
    <t xml:space="preserve">CH-01</t>
  </si>
  <si>
    <t xml:space="preserve">Chamber vault + ephemeral ID + burn</t>
  </si>
  <si>
    <t xml:space="preserve">T1 T4 T7 T13 T14 T18</t>
  </si>
  <si>
    <t xml:space="preserve">SRS §5</t>
  </si>
  <si>
    <t xml:space="preserve">CH-02</t>
  </si>
  <si>
    <t xml:space="preserve">Hosted PWA Chamber</t>
  </si>
  <si>
    <t xml:space="preserve">T6 T3 T1 T18 T23</t>
  </si>
  <si>
    <t xml:space="preserve">TV-AB-T1</t>
  </si>
  <si>
    <t xml:space="preserve">CH-03</t>
  </si>
  <si>
    <t xml:space="preserve">Paired ceremony both peers</t>
  </si>
  <si>
    <t xml:space="preserve">T5 T24 T27 T14</t>
  </si>
  <si>
    <t xml:space="preserve">GU-01</t>
  </si>
  <si>
    <t xml:space="preserve">Guardian gate Send/Open on device</t>
  </si>
  <si>
    <t xml:space="preserve">T1 T16 T24 T26</t>
  </si>
  <si>
    <t xml:space="preserve">SRS §6</t>
  </si>
  <si>
    <t xml:space="preserve">TV-L1-03 TV-L1-04</t>
  </si>
  <si>
    <t xml:space="preserve">GU-02</t>
  </si>
  <si>
    <t xml:space="preserve">Deterministic checksums + EXIF + MIME + OTP</t>
  </si>
  <si>
    <t xml:space="preserve">T1 T23 T26 T24</t>
  </si>
  <si>
    <t xml:space="preserve">TV-L1-03</t>
  </si>
  <si>
    <t xml:space="preserve">GU-03</t>
  </si>
  <si>
    <t xml:space="preserve">Cloud / vendor model on bodies</t>
  </si>
  <si>
    <t xml:space="preserve">T1 T2 T19 T23</t>
  </si>
  <si>
    <t xml:space="preserve">GU-04</t>
  </si>
  <si>
    <t xml:space="preserve">Guardian as chat contact</t>
  </si>
  <si>
    <t xml:space="preserve">T7 T12</t>
  </si>
  <si>
    <t xml:space="preserve">SYS-01</t>
  </si>
  <si>
    <t xml:space="preserve">Empty push bodies</t>
  </si>
  <si>
    <t xml:space="preserve">T10 T23 T19</t>
  </si>
  <si>
    <t xml:space="preserve">SRS §7</t>
  </si>
  <si>
    <t xml:space="preserve">TV-L1-05 TV-AB-T10</t>
  </si>
  <si>
    <t xml:space="preserve">SYS-02</t>
  </si>
  <si>
    <t xml:space="preserve">Bleep lock + auto-lock</t>
  </si>
  <si>
    <t xml:space="preserve">T13 T14 T15</t>
  </si>
  <si>
    <t xml:space="preserve">TV-L1-06</t>
  </si>
  <si>
    <t xml:space="preserve">SYS-03</t>
  </si>
  <si>
    <t xml:space="preserve">Encrypted export; no auto cloud backup</t>
  </si>
  <si>
    <t xml:space="preserve">T18 T1 T4 T13</t>
  </si>
  <si>
    <t xml:space="preserve">TV-AB-T18</t>
  </si>
  <si>
    <t xml:space="preserve">SYS-04</t>
  </si>
  <si>
    <t xml:space="preserve">Visible region; fail closed</t>
  </si>
  <si>
    <t xml:space="preserve">T21 T19 T20</t>
  </si>
  <si>
    <t xml:space="preserve">TV-L1-07</t>
  </si>
  <si>
    <t xml:space="preserve">SYS-05</t>
  </si>
  <si>
    <t xml:space="preserve">Ads / analytics SDK</t>
  </si>
  <si>
    <t xml:space="preserve">T23 T9 T19 T7</t>
  </si>
  <si>
    <t xml:space="preserve">SYS-06</t>
  </si>
  <si>
    <t xml:space="preserve">Work Bleep in this APK</t>
  </si>
  <si>
    <t xml:space="preserve">TM-11 T7 T2</t>
  </si>
  <si>
    <t xml:space="preserve">n/a</t>
  </si>
  <si>
    <t xml:space="preserve">SHIP count</t>
  </si>
  <si>
    <t xml:space="preserve">CONSTRAINED count</t>
  </si>
  <si>
    <t xml:space="preserve">LATER count</t>
  </si>
  <si>
    <t xml:space="preserve">NEVER count</t>
  </si>
  <si>
    <t xml:space="preserve">Total rows</t>
  </si>
  <si>
    <t xml:space="preserve">Loop 1 SHIP rows</t>
  </si>
  <si>
    <t xml:space="preserve">Loop 2 SHIP rows</t>
  </si>
  <si>
    <t xml:space="preserve">Verdict mix</t>
  </si>
  <si>
    <t xml:space="preserve">Count</t>
  </si>
  <si>
    <t xml:space="preserve">LATER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</si>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</sst>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Arial"/>
      <family val="0"/>
      <charset val="1"/>
    </font>
    <font>
      <i val="true"/>
      <sz val="10"/>
      <color rgb="FF5C5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191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C1917"/>
        <bgColor rgb="FF000000"/>
      </patternFill>
    </fill>
    <fill>
      <patternFill patternType="solid">
        <fgColor rgb="FFE7F0E6"/>
        <bgColor rgb="FFE8EEF4"/>
      </patternFill>
    </fill>
    <fill>
      <patternFill patternType="solid">
        <fgColor rgb="FFF6E4E0"/>
        <bgColor rgb="FFF4EBD8"/>
      </patternFill>
    </fill>
    <fill>
      <patternFill patternType="solid">
        <fgColor rgb="FFF4EBD8"/>
        <bgColor rgb="FFF6E4E0"/>
      </patternFill>
    </fill>
    <fill>
      <patternFill patternType="solid">
        <fgColor rgb="FFE8EEF4"/>
        <bgColor rgb="FFE7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4B0"/>
      </left>
      <right style="thin">
        <color rgb="FFD4C4B0"/>
      </right>
      <top style="thin">
        <color rgb="FFD4C4B0"/>
      </top>
      <bottom style="thin">
        <color rgb="FFD4C4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C19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0E6"/>
          <bgColor rgb="FF000000"/>
        </patternFill>
      </fill>
    </dxf>
    <dxf>
      <fill>
        <patternFill patternType="solid">
          <fgColor rgb="FFF4EBD8"/>
          <bgColor rgb="FF000000"/>
        </patternFill>
      </fill>
    </dxf>
    <dxf>
      <fill>
        <patternFill patternType="solid">
          <fgColor rgb="FFF6E4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4B0"/>
      <rgbColor rgb="FF878787"/>
      <rgbColor rgb="FF9999FF"/>
      <rgbColor rgb="FF993366"/>
      <rgbColor rgb="FFF9F9F9"/>
      <rgbColor rgb="FFE8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E6"/>
      <rgbColor rgb="FFCCFFCC"/>
      <rgbColor rgb="FFF4EBD8"/>
      <rgbColor rgb="FF99CCFF"/>
      <rgbColor rgb="FFFF99CC"/>
      <rgbColor rgb="FFCC99FF"/>
      <rgbColor rgb="FFF6E4E0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5C5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Requirement verdicts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'Verdict summary'!B3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'Verdict summary'!$A$4:$A$7</c:f>
              <c:strCache>
                <c:ptCount val="4"/>
                <c:pt idx="0">
                  <c:v>SHIP</c:v>
                </c:pt>
                <c:pt idx="1">
                  <c:v>CONSTRAINED</c:v>
                </c:pt>
                <c:pt idx="2">
                  <c:v>LATER</c:v>
                </c:pt>
                <c:pt idx="3">
                  <c:v>NEVER</c:v>
                </c:pt>
              </c:strCache>
            </c:strRef>
          </c:cat>
          <c:val>
            <c:numRef>
              <c:f>'Verdict summary'!$B$4:$B$7</c:f>
              <c:numCache>
                <c:formatCode>General</c:formatCode>
                <c:ptCount val="4"/>
                <c:pt idx="0">
                  <c:v>16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21583654"/>
        <c:axId val="77038761"/>
      </c:barChart>
      <c:catAx>
        <c:axId val="21583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38761"/>
        <c:crosses val="autoZero"/>
        <c:auto val="1"/>
        <c:lblAlgn val="ctr"/>
        <c:lblOffset val="100"/>
        <c:noMultiLvlLbl val="0"/>
      </c:catAx>
      <c:valAx>
        <c:axId val="77038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36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286704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8"/>
    <col collapsed="false" customWidth="true" hidden="false" outlineLevel="0" max="8" min="8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4" t="s">
        <v>13</v>
      </c>
      <c r="E5" s="4" t="s">
        <v>14</v>
      </c>
      <c r="F5" s="4" t="n">
        <v>1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5" t="s">
        <v>12</v>
      </c>
      <c r="D6" s="4" t="s">
        <v>19</v>
      </c>
      <c r="E6" s="4" t="s">
        <v>14</v>
      </c>
      <c r="F6" s="4" t="n">
        <v>1</v>
      </c>
      <c r="G6" s="4" t="s">
        <v>15</v>
      </c>
      <c r="H6" s="4" t="s">
        <v>16</v>
      </c>
    </row>
    <row r="7" customFormat="false" ht="15" hidden="false" customHeight="false" outlineLevel="0" collapsed="false">
      <c r="A7" s="4" t="s">
        <v>20</v>
      </c>
      <c r="B7" s="4" t="s">
        <v>21</v>
      </c>
      <c r="C7" s="6" t="s">
        <v>22</v>
      </c>
      <c r="D7" s="4" t="s">
        <v>23</v>
      </c>
      <c r="E7" s="4" t="s">
        <v>14</v>
      </c>
      <c r="F7" s="4" t="n">
        <v>0</v>
      </c>
      <c r="G7" s="4" t="s">
        <v>24</v>
      </c>
      <c r="H7" s="4" t="s">
        <v>25</v>
      </c>
    </row>
    <row r="8" customFormat="false" ht="15" hidden="false" customHeight="false" outlineLevel="0" collapsed="false">
      <c r="A8" s="4" t="s">
        <v>26</v>
      </c>
      <c r="B8" s="4" t="s">
        <v>27</v>
      </c>
      <c r="C8" s="5" t="s">
        <v>12</v>
      </c>
      <c r="D8" s="4" t="s">
        <v>28</v>
      </c>
      <c r="E8" s="4" t="s">
        <v>14</v>
      </c>
      <c r="F8" s="4" t="n">
        <v>1</v>
      </c>
      <c r="G8" s="4" t="s">
        <v>29</v>
      </c>
      <c r="H8" s="4" t="s">
        <v>16</v>
      </c>
    </row>
    <row r="9" customFormat="false" ht="15" hidden="false" customHeight="false" outlineLevel="0" collapsed="false">
      <c r="A9" s="4" t="s">
        <v>30</v>
      </c>
      <c r="B9" s="4" t="s">
        <v>31</v>
      </c>
      <c r="C9" s="5" t="s">
        <v>12</v>
      </c>
      <c r="D9" s="4" t="s">
        <v>32</v>
      </c>
      <c r="E9" s="4" t="s">
        <v>33</v>
      </c>
      <c r="F9" s="4" t="n">
        <v>1</v>
      </c>
      <c r="G9" s="4" t="s">
        <v>34</v>
      </c>
      <c r="H9" s="4" t="s">
        <v>35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6" t="s">
        <v>22</v>
      </c>
      <c r="D10" s="4" t="s">
        <v>38</v>
      </c>
      <c r="E10" s="4" t="s">
        <v>33</v>
      </c>
      <c r="F10" s="4" t="n">
        <v>0</v>
      </c>
      <c r="G10" s="4" t="s">
        <v>24</v>
      </c>
      <c r="H10" s="4" t="s">
        <v>25</v>
      </c>
    </row>
    <row r="11" customFormat="false" ht="15" hidden="false" customHeight="false" outlineLevel="0" collapsed="false">
      <c r="A11" s="4" t="s">
        <v>39</v>
      </c>
      <c r="B11" s="4" t="s">
        <v>40</v>
      </c>
      <c r="C11" s="7" t="s">
        <v>41</v>
      </c>
      <c r="D11" s="4" t="s">
        <v>42</v>
      </c>
      <c r="E11" s="4" t="s">
        <v>33</v>
      </c>
      <c r="F11" s="4" t="n">
        <v>1</v>
      </c>
      <c r="G11" s="4" t="s">
        <v>24</v>
      </c>
      <c r="H11" s="4" t="s">
        <v>16</v>
      </c>
    </row>
    <row r="12" customFormat="false" ht="15" hidden="false" customHeight="false" outlineLevel="0" collapsed="false">
      <c r="A12" s="4" t="s">
        <v>43</v>
      </c>
      <c r="B12" s="4" t="s">
        <v>44</v>
      </c>
      <c r="C12" s="5" t="s">
        <v>12</v>
      </c>
      <c r="D12" s="4" t="s">
        <v>45</v>
      </c>
      <c r="E12" s="4" t="s">
        <v>33</v>
      </c>
      <c r="F12" s="4" t="n">
        <v>1</v>
      </c>
      <c r="G12" s="4" t="s">
        <v>15</v>
      </c>
      <c r="H12" s="4" t="s">
        <v>16</v>
      </c>
    </row>
    <row r="13" customFormat="false" ht="15" hidden="false" customHeight="false" outlineLevel="0" collapsed="false">
      <c r="A13" s="4" t="s">
        <v>46</v>
      </c>
      <c r="B13" s="4" t="s">
        <v>47</v>
      </c>
      <c r="C13" s="6" t="s">
        <v>22</v>
      </c>
      <c r="D13" s="4" t="s">
        <v>48</v>
      </c>
      <c r="E13" s="4" t="s">
        <v>49</v>
      </c>
      <c r="F13" s="4" t="n">
        <v>0</v>
      </c>
      <c r="G13" s="4" t="s">
        <v>50</v>
      </c>
      <c r="H13" s="4" t="s">
        <v>25</v>
      </c>
    </row>
    <row r="14" customFormat="false" ht="15" hidden="false" customHeight="false" outlineLevel="0" collapsed="false">
      <c r="A14" s="4" t="s">
        <v>51</v>
      </c>
      <c r="B14" s="4" t="s">
        <v>52</v>
      </c>
      <c r="C14" s="5" t="s">
        <v>12</v>
      </c>
      <c r="D14" s="4" t="s">
        <v>53</v>
      </c>
      <c r="E14" s="4" t="s">
        <v>49</v>
      </c>
      <c r="F14" s="4" t="n">
        <v>2</v>
      </c>
      <c r="G14" s="4" t="s">
        <v>54</v>
      </c>
      <c r="H14" s="4" t="s">
        <v>35</v>
      </c>
    </row>
    <row r="15" customFormat="false" ht="15" hidden="false" customHeight="false" outlineLevel="0" collapsed="false">
      <c r="A15" s="4" t="s">
        <v>55</v>
      </c>
      <c r="B15" s="4" t="s">
        <v>56</v>
      </c>
      <c r="C15" s="5" t="s">
        <v>12</v>
      </c>
      <c r="D15" s="4" t="s">
        <v>57</v>
      </c>
      <c r="E15" s="4" t="s">
        <v>49</v>
      </c>
      <c r="F15" s="4" t="n">
        <v>2</v>
      </c>
      <c r="G15" s="4" t="s">
        <v>58</v>
      </c>
      <c r="H15" s="4" t="s">
        <v>35</v>
      </c>
    </row>
    <row r="16" customFormat="false" ht="15" hidden="false" customHeight="false" outlineLevel="0" collapsed="false">
      <c r="A16" s="4" t="s">
        <v>59</v>
      </c>
      <c r="B16" s="4" t="s">
        <v>60</v>
      </c>
      <c r="C16" s="5" t="s">
        <v>12</v>
      </c>
      <c r="D16" s="4" t="s">
        <v>61</v>
      </c>
      <c r="E16" s="4" t="s">
        <v>49</v>
      </c>
      <c r="F16" s="4" t="n">
        <v>2</v>
      </c>
      <c r="G16" s="4" t="s">
        <v>62</v>
      </c>
      <c r="H16" s="4" t="s">
        <v>35</v>
      </c>
    </row>
    <row r="17" customFormat="false" ht="15" hidden="false" customHeight="false" outlineLevel="0" collapsed="false">
      <c r="A17" s="4" t="s">
        <v>63</v>
      </c>
      <c r="B17" s="4" t="s">
        <v>64</v>
      </c>
      <c r="C17" s="5" t="s">
        <v>12</v>
      </c>
      <c r="D17" s="4" t="s">
        <v>65</v>
      </c>
      <c r="E17" s="4" t="s">
        <v>66</v>
      </c>
      <c r="F17" s="4" t="n">
        <v>2</v>
      </c>
      <c r="G17" s="4" t="s">
        <v>29</v>
      </c>
      <c r="H17" s="4" t="s">
        <v>35</v>
      </c>
    </row>
    <row r="18" customFormat="false" ht="15" hidden="false" customHeight="false" outlineLevel="0" collapsed="false">
      <c r="A18" s="4" t="s">
        <v>67</v>
      </c>
      <c r="B18" s="4" t="s">
        <v>68</v>
      </c>
      <c r="C18" s="6" t="s">
        <v>22</v>
      </c>
      <c r="D18" s="4" t="s">
        <v>69</v>
      </c>
      <c r="E18" s="4" t="s">
        <v>66</v>
      </c>
      <c r="F18" s="4" t="n">
        <v>0</v>
      </c>
      <c r="G18" s="4" t="s">
        <v>70</v>
      </c>
      <c r="H18" s="4" t="s">
        <v>25</v>
      </c>
    </row>
    <row r="19" customFormat="false" ht="15" hidden="false" customHeight="false" outlineLevel="0" collapsed="false">
      <c r="A19" s="4" t="s">
        <v>71</v>
      </c>
      <c r="B19" s="4" t="s">
        <v>72</v>
      </c>
      <c r="C19" s="5" t="s">
        <v>12</v>
      </c>
      <c r="D19" s="4" t="s">
        <v>73</v>
      </c>
      <c r="E19" s="4" t="s">
        <v>66</v>
      </c>
      <c r="F19" s="4" t="n">
        <v>2</v>
      </c>
      <c r="G19" s="4" t="s">
        <v>29</v>
      </c>
      <c r="H19" s="4" t="s">
        <v>35</v>
      </c>
    </row>
    <row r="20" customFormat="false" ht="15" hidden="false" customHeight="false" outlineLevel="0" collapsed="false">
      <c r="A20" s="4" t="s">
        <v>74</v>
      </c>
      <c r="B20" s="4" t="s">
        <v>75</v>
      </c>
      <c r="C20" s="5" t="s">
        <v>12</v>
      </c>
      <c r="D20" s="4" t="s">
        <v>76</v>
      </c>
      <c r="E20" s="4" t="s">
        <v>77</v>
      </c>
      <c r="F20" s="4" t="n">
        <v>1</v>
      </c>
      <c r="G20" s="4" t="s">
        <v>78</v>
      </c>
      <c r="H20" s="4" t="s">
        <v>35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5" t="s">
        <v>12</v>
      </c>
      <c r="D21" s="4" t="s">
        <v>81</v>
      </c>
      <c r="E21" s="4" t="s">
        <v>77</v>
      </c>
      <c r="F21" s="4" t="n">
        <v>1</v>
      </c>
      <c r="G21" s="4" t="s">
        <v>82</v>
      </c>
      <c r="H21" s="4" t="s">
        <v>35</v>
      </c>
    </row>
    <row r="22" customFormat="false" ht="15" hidden="false" customHeight="false" outlineLevel="0" collapsed="false">
      <c r="A22" s="4" t="s">
        <v>83</v>
      </c>
      <c r="B22" s="4" t="s">
        <v>84</v>
      </c>
      <c r="C22" s="6" t="s">
        <v>22</v>
      </c>
      <c r="D22" s="4" t="s">
        <v>85</v>
      </c>
      <c r="E22" s="4" t="s">
        <v>77</v>
      </c>
      <c r="F22" s="4" t="n">
        <v>0</v>
      </c>
      <c r="G22" s="4" t="s">
        <v>50</v>
      </c>
      <c r="H22" s="4" t="s">
        <v>25</v>
      </c>
    </row>
    <row r="23" customFormat="false" ht="15" hidden="false" customHeight="false" outlineLevel="0" collapsed="false">
      <c r="A23" s="4" t="s">
        <v>86</v>
      </c>
      <c r="B23" s="4" t="s">
        <v>87</v>
      </c>
      <c r="C23" s="6" t="s">
        <v>22</v>
      </c>
      <c r="D23" s="4" t="s">
        <v>88</v>
      </c>
      <c r="E23" s="4" t="s">
        <v>77</v>
      </c>
      <c r="F23" s="4" t="n">
        <v>0</v>
      </c>
      <c r="G23" s="4" t="s">
        <v>24</v>
      </c>
      <c r="H23" s="4" t="s">
        <v>25</v>
      </c>
    </row>
    <row r="24" customFormat="false" ht="15" hidden="false" customHeight="false" outlineLevel="0" collapsed="false">
      <c r="A24" s="4" t="s">
        <v>89</v>
      </c>
      <c r="B24" s="4" t="s">
        <v>90</v>
      </c>
      <c r="C24" s="5" t="s">
        <v>12</v>
      </c>
      <c r="D24" s="4" t="s">
        <v>91</v>
      </c>
      <c r="E24" s="4" t="s">
        <v>92</v>
      </c>
      <c r="F24" s="4" t="n">
        <v>1</v>
      </c>
      <c r="G24" s="4" t="s">
        <v>93</v>
      </c>
      <c r="H24" s="4" t="s">
        <v>35</v>
      </c>
    </row>
    <row r="25" customFormat="false" ht="15" hidden="false" customHeight="false" outlineLevel="0" collapsed="false">
      <c r="A25" s="4" t="s">
        <v>94</v>
      </c>
      <c r="B25" s="4" t="s">
        <v>95</v>
      </c>
      <c r="C25" s="5" t="s">
        <v>12</v>
      </c>
      <c r="D25" s="4" t="s">
        <v>96</v>
      </c>
      <c r="E25" s="4" t="s">
        <v>92</v>
      </c>
      <c r="F25" s="4" t="n">
        <v>1</v>
      </c>
      <c r="G25" s="4" t="s">
        <v>97</v>
      </c>
      <c r="H25" s="4" t="s">
        <v>16</v>
      </c>
    </row>
    <row r="26" customFormat="false" ht="15" hidden="false" customHeight="false" outlineLevel="0" collapsed="false">
      <c r="A26" s="4" t="s">
        <v>98</v>
      </c>
      <c r="B26" s="4" t="s">
        <v>99</v>
      </c>
      <c r="C26" s="5" t="s">
        <v>12</v>
      </c>
      <c r="D26" s="4" t="s">
        <v>100</v>
      </c>
      <c r="E26" s="4" t="s">
        <v>92</v>
      </c>
      <c r="F26" s="4" t="n">
        <v>3</v>
      </c>
      <c r="G26" s="4" t="s">
        <v>101</v>
      </c>
      <c r="H26" s="4" t="s">
        <v>35</v>
      </c>
    </row>
    <row r="27" customFormat="false" ht="15" hidden="false" customHeight="false" outlineLevel="0" collapsed="false">
      <c r="A27" s="4" t="s">
        <v>102</v>
      </c>
      <c r="B27" s="4" t="s">
        <v>103</v>
      </c>
      <c r="C27" s="5" t="s">
        <v>12</v>
      </c>
      <c r="D27" s="4" t="s">
        <v>104</v>
      </c>
      <c r="E27" s="4" t="s">
        <v>92</v>
      </c>
      <c r="F27" s="4" t="n">
        <v>1</v>
      </c>
      <c r="G27" s="4" t="s">
        <v>105</v>
      </c>
      <c r="H27" s="4" t="s">
        <v>35</v>
      </c>
    </row>
    <row r="28" customFormat="false" ht="15" hidden="false" customHeight="false" outlineLevel="0" collapsed="false">
      <c r="A28" s="4" t="s">
        <v>106</v>
      </c>
      <c r="B28" s="4" t="s">
        <v>107</v>
      </c>
      <c r="C28" s="6" t="s">
        <v>22</v>
      </c>
      <c r="D28" s="4" t="s">
        <v>108</v>
      </c>
      <c r="E28" s="4" t="s">
        <v>92</v>
      </c>
      <c r="F28" s="4" t="n">
        <v>0</v>
      </c>
      <c r="G28" s="4" t="s">
        <v>50</v>
      </c>
      <c r="H28" s="4" t="s">
        <v>25</v>
      </c>
    </row>
    <row r="29" customFormat="false" ht="15" hidden="false" customHeight="false" outlineLevel="0" collapsed="false">
      <c r="A29" s="4" t="s">
        <v>109</v>
      </c>
      <c r="B29" s="4" t="s">
        <v>110</v>
      </c>
      <c r="C29" s="6" t="s">
        <v>22</v>
      </c>
      <c r="D29" s="4" t="s">
        <v>111</v>
      </c>
      <c r="E29" s="4" t="s">
        <v>92</v>
      </c>
      <c r="F29" s="4" t="n">
        <v>0</v>
      </c>
      <c r="G29" s="4" t="s">
        <v>112</v>
      </c>
      <c r="H29" s="4" t="s">
        <v>25</v>
      </c>
    </row>
    <row r="31" customFormat="false" ht="15" hidden="false" customHeight="false" outlineLevel="0" collapsed="false">
      <c r="A31" s="8" t="s">
        <v>113</v>
      </c>
      <c r="B31" s="9" t="n">
        <f aca="false">COUNTIF(C5:C29,"SHIP")</f>
        <v>16</v>
      </c>
    </row>
    <row r="32" customFormat="false" ht="15" hidden="false" customHeight="false" outlineLevel="0" collapsed="false">
      <c r="A32" s="8" t="s">
        <v>114</v>
      </c>
      <c r="B32" s="9" t="n">
        <f aca="false">COUNTIF(C5:C29,"CONSTRAINED")</f>
        <v>1</v>
      </c>
    </row>
    <row r="33" customFormat="false" ht="15" hidden="false" customHeight="false" outlineLevel="0" collapsed="false">
      <c r="A33" s="8" t="s">
        <v>115</v>
      </c>
      <c r="B33" s="9" t="n">
        <f aca="false">COUNTIF(C5:C29,"LATER")</f>
        <v>0</v>
      </c>
    </row>
    <row r="34" customFormat="false" ht="15" hidden="false" customHeight="false" outlineLevel="0" collapsed="false">
      <c r="A34" s="8" t="s">
        <v>116</v>
      </c>
      <c r="B34" s="9" t="n">
        <f aca="false">COUNTIF(C5:C29,"NEVER")</f>
        <v>8</v>
      </c>
    </row>
    <row r="35" customFormat="false" ht="15" hidden="false" customHeight="false" outlineLevel="0" collapsed="false">
      <c r="A35" s="8" t="s">
        <v>117</v>
      </c>
      <c r="B35" s="9" t="n">
        <f aca="false">COUNTA(A5:A29)</f>
        <v>25</v>
      </c>
    </row>
    <row r="36" customFormat="false" ht="15" hidden="false" customHeight="false" outlineLevel="0" collapsed="false">
      <c r="A36" s="8" t="s">
        <v>118</v>
      </c>
      <c r="B36" s="9" t="n">
        <f aca="false">COUNTIFS(C5:C29,"SHIP",F5:F29,1)</f>
        <v>10</v>
      </c>
    </row>
    <row r="37" customFormat="false" ht="15" hidden="false" customHeight="false" outlineLevel="0" collapsed="false">
      <c r="A37" s="8" t="s">
        <v>119</v>
      </c>
      <c r="B37" s="9" t="n">
        <f aca="false">COUNTIFS(C5:C29,"SHIP",F5:F29,2)</f>
        <v>5</v>
      </c>
    </row>
  </sheetData>
  <autoFilter ref="A4:H2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&amp;LBLEEP-SDLC-010</oddHeader>
    <oddFooter>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0" t="s">
        <v>120</v>
      </c>
    </row>
    <row r="3" customFormat="false" ht="15" hidden="false" customHeight="false" outlineLevel="0" collapsed="false">
      <c r="A3" s="3" t="s">
        <v>4</v>
      </c>
      <c r="B3" s="3" t="s">
        <v>121</v>
      </c>
    </row>
    <row r="4" customFormat="false" ht="15" hidden="false" customHeight="false" outlineLevel="0" collapsed="false">
      <c r="A4" s="11" t="s">
        <v>12</v>
      </c>
      <c r="B4" s="9" t="n">
        <f aca="false">COUNTIF(Traceability!C$5:C$29,"SHIP")</f>
        <v>16</v>
      </c>
    </row>
    <row r="5" customFormat="false" ht="15" hidden="false" customHeight="false" outlineLevel="0" collapsed="false">
      <c r="A5" s="12" t="s">
        <v>41</v>
      </c>
      <c r="B5" s="9" t="n">
        <f aca="false">COUNTIF(Traceability!C$5:C$29,"CONSTRAINED")</f>
        <v>1</v>
      </c>
    </row>
    <row r="6" customFormat="false" ht="15" hidden="false" customHeight="false" outlineLevel="0" collapsed="false">
      <c r="A6" s="13" t="s">
        <v>122</v>
      </c>
      <c r="B6" s="9" t="n">
        <f aca="false">COUNTIF(Traceability!C$5:C$29,"LATER")</f>
        <v>0</v>
      </c>
    </row>
    <row r="7" customFormat="false" ht="15" hidden="false" customHeight="false" outlineLevel="0" collapsed="false">
      <c r="A7" s="14" t="s">
        <v>22</v>
      </c>
      <c r="B7" s="9" t="n">
        <f aca="false">COUNTIF(Traceability!C$5:C$29,"NEVER")</f>
        <v>8</v>
      </c>
    </row>
    <row r="8" customFormat="false" ht="15" hidden="false" customHeight="false" outlineLevel="0" collapsed="false">
      <c r="A8" s="0" t="s">
        <v>123</v>
      </c>
      <c r="B8" s="15" t="n">
        <f aca="false">SUM(B4:B7)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2026-08-31T09:43:39Z</dcterms:created>
  <dc:creator>openpyxl</dc:creator>
  <dc:description/>
  <dc:language>en-US</dc:language>
  <cp:lastModifiedBy/>
  <dcterms:modified xsi:type="dcterms:W3CDTF">2026-08-31T09:43:58Z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