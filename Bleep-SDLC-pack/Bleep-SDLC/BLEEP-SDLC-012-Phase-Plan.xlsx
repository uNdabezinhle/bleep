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plan" sheetId="1" state="visible" r:id="rId3"/>
    <sheet name="By loo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<sst xmlns="http://schemas.openxmlformats.org/spreadsheetml/2006/main" count="82" uniqueCount="76">
  <si>
    <t xml:space="preserve">BLEEP-SDLC-012  ·  Phase and loop plan</t>
  </si>
  <si>
    <t xml:space="preserve">Planning sheet. Effort points are relative. Remaining = Planned − Done.</t>
  </si>
  <si>
    <t xml:space="preserve">Workstream</t>
  </si>
  <si>
    <t xml:space="preserve">Loop</t>
  </si>
  <si>
    <t xml:space="preserve">Planned pts</t>
  </si>
  <si>
    <t xml:space="preserve">Done pts</t>
  </si>
  <si>
    <t xml:space="preserve">Remaining</t>
  </si>
  <si>
    <t xml:space="preserve">% done</t>
  </si>
  <si>
    <t xml:space="preserve">Exit test</t>
  </si>
  <si>
    <t xml:space="preserve">Depends on</t>
  </si>
  <si>
    <t xml:space="preserve">Notes</t>
  </si>
  <si>
    <t xml:space="preserve">Identity + QR add + local store</t>
  </si>
  <si>
    <t xml:space="preserve">TV-L1-01</t>
  </si>
  <si>
    <t xml:space="preserve">—</t>
  </si>
  <si>
    <t xml:space="preserve">No phone number</t>
  </si>
  <si>
    <t xml:space="preserve">Ratchet + sealed mailbox protocol</t>
  </si>
  <si>
    <t xml:space="preserve">TV-L1-02</t>
  </si>
  <si>
    <t xml:space="preserve">Identity</t>
  </si>
  <si>
    <t xml:space="preserve">Library to be bound</t>
  </si>
  <si>
    <t xml:space="preserve">Composer text/photo/voice + queue</t>
  </si>
  <si>
    <t xml:space="preserve">Ratchet</t>
  </si>
  <si>
    <t xml:space="preserve">Low Data later</t>
  </si>
  <si>
    <t xml:space="preserve">Guardian deterministic rules</t>
  </si>
  <si>
    <t xml:space="preserve">TV-L1-03</t>
  </si>
  <si>
    <t xml:space="preserve">Composer</t>
  </si>
  <si>
    <t xml:space="preserve">Checksums + EXIF + MIME</t>
  </si>
  <si>
    <t xml:space="preserve">Lock + empty push + region chip</t>
  </si>
  <si>
    <t xml:space="preserve">TV-L1-05 TV-L1-06 TV-L1-07</t>
  </si>
  <si>
    <t xml:space="preserve">Mailbox</t>
  </si>
  <si>
    <t xml:space="preserve">FCM template review</t>
  </si>
  <si>
    <t xml:space="preserve">Signed APK + hash page</t>
  </si>
  <si>
    <t xml:space="preserve">Release checklist</t>
  </si>
  <si>
    <t xml:space="preserve">Client skeleton</t>
  </si>
  <si>
    <t xml:space="preserve">Play can trail</t>
  </si>
  <si>
    <t xml:space="preserve">Small groups + Status</t>
  </si>
  <si>
    <t xml:space="preserve">TV-L2-01 TV-L2-02</t>
  </si>
  <si>
    <t xml:space="preserve">Loop 1</t>
  </si>
  <si>
    <t xml:space="preserve">Cap small</t>
  </si>
  <si>
    <t xml:space="preserve">1:1 calls + in-region TURN</t>
  </si>
  <si>
    <t xml:space="preserve">TV-L2-03</t>
  </si>
  <si>
    <t xml:space="preserve">No recording plane</t>
  </si>
  <si>
    <t xml:space="preserve">Chamber vault + pair + burn</t>
  </si>
  <si>
    <t xml:space="preserve">TV-L2-04</t>
  </si>
  <si>
    <t xml:space="preserve">Loop 1 + lock</t>
  </si>
  <si>
    <t xml:space="preserve">Same APK</t>
  </si>
  <si>
    <t xml:space="preserve">Inbound Guardian + classifiers pack</t>
  </si>
  <si>
    <t xml:space="preserve">TV-L2-05</t>
  </si>
  <si>
    <t xml:space="preserve">Guardian L1</t>
  </si>
  <si>
    <t xml:space="preserve">Classifiers CONSTRAINED</t>
  </si>
  <si>
    <t xml:space="preserve">Export / unlink / restore</t>
  </si>
  <si>
    <t xml:space="preserve">TV-AB-T18</t>
  </si>
  <si>
    <t xml:space="preserve">Loop 1 store</t>
  </si>
  <si>
    <t xml:space="preserve">Chambers opt-in</t>
  </si>
  <si>
    <t xml:space="preserve">Closed ZA ring + LE guide live</t>
  </si>
  <si>
    <t xml:space="preserve">Compulsion drill</t>
  </si>
  <si>
    <t xml:space="preserve">Ops doc</t>
  </si>
  <si>
    <t xml:space="preserve">No “secure” word</t>
  </si>
  <si>
    <t xml:space="preserve">Bleep box UX</t>
  </si>
  <si>
    <t xml:space="preserve">New TM pass</t>
  </si>
  <si>
    <t xml:space="preserve">Loop 2</t>
  </si>
  <si>
    <t xml:space="preserve">LATER</t>
  </si>
  <si>
    <t xml:space="preserve">Desktop native (not PWA)</t>
  </si>
  <si>
    <t xml:space="preserve">Loop 3</t>
  </si>
  <si>
    <t xml:space="preserve">Paid protocol review</t>
  </si>
  <si>
    <t xml:space="preserve">TM §12 gate</t>
  </si>
  <si>
    <t xml:space="preserve">Loop 1 protocol bind</t>
  </si>
  <si>
    <t xml:space="preserve">Before store “secure”</t>
  </si>
  <si>
    <t xml:space="preserve">Total planned</t>
  </si>
  <si>
    <t xml:space="preserve">Total done</t>
  </si>
  <si>
    <t xml:space="preserve">Total remaining</t>
  </si>
  <si>
    <t xml:space="preserve">Overall % done</t>
  </si>
  <si>
    <t xml:space="preserve">Loop 1 remaining</t>
  </si>
  <si>
    <t xml:space="preserve">Loop 2 remaining</t>
  </si>
  <si>
    <t xml:space="preserve">Loop 3 remaining</t>
  </si>
  <si>
    <t xml:space="preserve">Loop 4 remaining</t>
  </si>
  <si>
    <t xml:space="preserve">Remaining points by loop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</si>
</sst>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Arial"/>
      <family val="0"/>
      <charset val="1"/>
    </font>
    <font>
      <i val="true"/>
      <sz val="10"/>
      <color rgb="FF5C5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19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1917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4B0"/>
      </left>
      <right style="thin">
        <color rgb="FFD4C4B0"/>
      </right>
      <top style="thin">
        <color rgb="FFD4C4B0"/>
      </top>
      <bottom style="thin">
        <color rgb="FFD4C4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4B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5C5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Remaining effort by loop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loop'!B3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loop'!$A$4:$A$7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'By loop'!$B$4:$B$7</c:f>
              <c:numCache>
                <c:formatCode>General</c:formatCode>
                <c:ptCount val="4"/>
                <c:pt idx="0">
                  <c:v>42</c:v>
                </c:pt>
                <c:pt idx="1">
                  <c:v>34</c:v>
                </c:pt>
                <c:pt idx="2">
                  <c:v>16</c:v>
                </c:pt>
                <c:pt idx="3">
                  <c:v>26</c:v>
                </c:pt>
              </c:numCache>
            </c:numRef>
          </c:val>
        </c:ser>
        <c:gapWidth val="150"/>
        <c:overlap val="0"/>
        <c:axId val="47531774"/>
        <c:axId val="51105839"/>
      </c:barChart>
      <c:catAx>
        <c:axId val="47531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05839"/>
        <c:crosses val="autoZero"/>
        <c:auto val="1"/>
        <c:lblAlgn val="ctr"/>
        <c:lblOffset val="100"/>
        <c:noMultiLvlLbl val="0"/>
      </c:catAx>
      <c:valAx>
        <c:axId val="51105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31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244404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v>1</v>
      </c>
      <c r="C5" s="5" t="n">
        <v>8</v>
      </c>
      <c r="D5" s="5" t="n">
        <v>0</v>
      </c>
      <c r="E5" s="4" t="n">
        <f aca="false">C5-D5</f>
        <v>8</v>
      </c>
      <c r="F5" s="6" t="n">
        <f aca="false">IF(C5=0,0,D5/C5)</f>
        <v>0</v>
      </c>
      <c r="G5" s="4" t="s">
        <v>12</v>
      </c>
      <c r="H5" s="4" t="s">
        <v>13</v>
      </c>
      <c r="I5" s="4" t="s">
        <v>14</v>
      </c>
    </row>
    <row r="6" customFormat="false" ht="15" hidden="false" customHeight="false" outlineLevel="0" collapsed="false">
      <c r="A6" s="4" t="s">
        <v>15</v>
      </c>
      <c r="B6" s="4" t="n">
        <v>1</v>
      </c>
      <c r="C6" s="5" t="n">
        <v>13</v>
      </c>
      <c r="D6" s="5" t="n">
        <v>0</v>
      </c>
      <c r="E6" s="4" t="n">
        <f aca="false">C6-D6</f>
        <v>13</v>
      </c>
      <c r="F6" s="6" t="n">
        <f aca="false">IF(C6=0,0,D6/C6)</f>
        <v>0</v>
      </c>
      <c r="G6" s="4" t="s">
        <v>16</v>
      </c>
      <c r="H6" s="4" t="s">
        <v>17</v>
      </c>
      <c r="I6" s="4" t="s">
        <v>18</v>
      </c>
    </row>
    <row r="7" customFormat="false" ht="15" hidden="false" customHeight="false" outlineLevel="0" collapsed="false">
      <c r="A7" s="4" t="s">
        <v>19</v>
      </c>
      <c r="B7" s="4" t="n">
        <v>1</v>
      </c>
      <c r="C7" s="5" t="n">
        <v>8</v>
      </c>
      <c r="D7" s="5" t="n">
        <v>0</v>
      </c>
      <c r="E7" s="4" t="n">
        <f aca="false">C7-D7</f>
        <v>8</v>
      </c>
      <c r="F7" s="6" t="n">
        <f aca="false">IF(C7=0,0,D7/C7)</f>
        <v>0</v>
      </c>
      <c r="G7" s="4" t="s">
        <v>12</v>
      </c>
      <c r="H7" s="4" t="s">
        <v>20</v>
      </c>
      <c r="I7" s="4" t="s">
        <v>21</v>
      </c>
    </row>
    <row r="8" customFormat="false" ht="23.85" hidden="false" customHeight="false" outlineLevel="0" collapsed="false">
      <c r="A8" s="4" t="s">
        <v>22</v>
      </c>
      <c r="B8" s="4" t="n">
        <v>1</v>
      </c>
      <c r="C8" s="5" t="n">
        <v>5</v>
      </c>
      <c r="D8" s="5" t="n">
        <v>0</v>
      </c>
      <c r="E8" s="4" t="n">
        <f aca="false">C8-D8</f>
        <v>5</v>
      </c>
      <c r="F8" s="6" t="n">
        <f aca="false">IF(C8=0,0,D8/C8)</f>
        <v>0</v>
      </c>
      <c r="G8" s="4" t="s">
        <v>23</v>
      </c>
      <c r="H8" s="4" t="s">
        <v>24</v>
      </c>
      <c r="I8" s="4" t="s">
        <v>25</v>
      </c>
    </row>
    <row r="9" customFormat="false" ht="15" hidden="false" customHeight="false" outlineLevel="0" collapsed="false">
      <c r="A9" s="4" t="s">
        <v>26</v>
      </c>
      <c r="B9" s="4" t="n">
        <v>1</v>
      </c>
      <c r="C9" s="5" t="n">
        <v>5</v>
      </c>
      <c r="D9" s="5" t="n">
        <v>0</v>
      </c>
      <c r="E9" s="4" t="n">
        <f aca="false">C9-D9</f>
        <v>5</v>
      </c>
      <c r="F9" s="6" t="n">
        <f aca="false">IF(C9=0,0,D9/C9)</f>
        <v>0</v>
      </c>
      <c r="G9" s="4" t="s">
        <v>27</v>
      </c>
      <c r="H9" s="4" t="s">
        <v>28</v>
      </c>
      <c r="I9" s="4" t="s">
        <v>29</v>
      </c>
    </row>
    <row r="10" customFormat="false" ht="15" hidden="false" customHeight="false" outlineLevel="0" collapsed="false">
      <c r="A10" s="4" t="s">
        <v>30</v>
      </c>
      <c r="B10" s="4" t="n">
        <v>1</v>
      </c>
      <c r="C10" s="5" t="n">
        <v>3</v>
      </c>
      <c r="D10" s="5" t="n">
        <v>0</v>
      </c>
      <c r="E10" s="4" t="n">
        <f aca="false">C10-D10</f>
        <v>3</v>
      </c>
      <c r="F10" s="6" t="n">
        <f aca="false">IF(C10=0,0,D10/C10)</f>
        <v>0</v>
      </c>
      <c r="G10" s="4" t="s">
        <v>31</v>
      </c>
      <c r="H10" s="4" t="s">
        <v>32</v>
      </c>
      <c r="I10" s="4" t="s">
        <v>33</v>
      </c>
    </row>
    <row r="11" customFormat="false" ht="15" hidden="false" customHeight="false" outlineLevel="0" collapsed="false">
      <c r="A11" s="4" t="s">
        <v>34</v>
      </c>
      <c r="B11" s="4" t="n">
        <v>2</v>
      </c>
      <c r="C11" s="5" t="n">
        <v>8</v>
      </c>
      <c r="D11" s="5" t="n">
        <v>0</v>
      </c>
      <c r="E11" s="4" t="n">
        <f aca="false">C11-D11</f>
        <v>8</v>
      </c>
      <c r="F11" s="6" t="n">
        <f aca="false">IF(C11=0,0,D11/C11)</f>
        <v>0</v>
      </c>
      <c r="G11" s="4" t="s">
        <v>35</v>
      </c>
      <c r="H11" s="4" t="s">
        <v>36</v>
      </c>
      <c r="I11" s="4" t="s">
        <v>37</v>
      </c>
    </row>
    <row r="12" customFormat="false" ht="15" hidden="false" customHeight="false" outlineLevel="0" collapsed="false">
      <c r="A12" s="4" t="s">
        <v>38</v>
      </c>
      <c r="B12" s="4" t="n">
        <v>2</v>
      </c>
      <c r="C12" s="5" t="n">
        <v>8</v>
      </c>
      <c r="D12" s="5" t="n">
        <v>0</v>
      </c>
      <c r="E12" s="4" t="n">
        <f aca="false">C12-D12</f>
        <v>8</v>
      </c>
      <c r="F12" s="6" t="n">
        <f aca="false">IF(C12=0,0,D12/C12)</f>
        <v>0</v>
      </c>
      <c r="G12" s="4" t="s">
        <v>39</v>
      </c>
      <c r="H12" s="4" t="s">
        <v>36</v>
      </c>
      <c r="I12" s="4" t="s">
        <v>40</v>
      </c>
    </row>
    <row r="13" customFormat="false" ht="15" hidden="false" customHeight="false" outlineLevel="0" collapsed="false">
      <c r="A13" s="4" t="s">
        <v>41</v>
      </c>
      <c r="B13" s="4" t="n">
        <v>2</v>
      </c>
      <c r="C13" s="5" t="n">
        <v>13</v>
      </c>
      <c r="D13" s="5" t="n">
        <v>0</v>
      </c>
      <c r="E13" s="4" t="n">
        <f aca="false">C13-D13</f>
        <v>13</v>
      </c>
      <c r="F13" s="6" t="n">
        <f aca="false">IF(C13=0,0,D13/C13)</f>
        <v>0</v>
      </c>
      <c r="G13" s="4" t="s">
        <v>42</v>
      </c>
      <c r="H13" s="4" t="s">
        <v>43</v>
      </c>
      <c r="I13" s="4" t="s">
        <v>44</v>
      </c>
    </row>
    <row r="14" customFormat="false" ht="23.85" hidden="false" customHeight="false" outlineLevel="0" collapsed="false">
      <c r="A14" s="4" t="s">
        <v>45</v>
      </c>
      <c r="B14" s="4" t="n">
        <v>2</v>
      </c>
      <c r="C14" s="5" t="n">
        <v>5</v>
      </c>
      <c r="D14" s="5" t="n">
        <v>0</v>
      </c>
      <c r="E14" s="4" t="n">
        <f aca="false">C14-D14</f>
        <v>5</v>
      </c>
      <c r="F14" s="6" t="n">
        <f aca="false">IF(C14=0,0,D14/C14)</f>
        <v>0</v>
      </c>
      <c r="G14" s="4" t="s">
        <v>46</v>
      </c>
      <c r="H14" s="4" t="s">
        <v>47</v>
      </c>
      <c r="I14" s="4" t="s">
        <v>48</v>
      </c>
    </row>
    <row r="15" customFormat="false" ht="15" hidden="false" customHeight="false" outlineLevel="0" collapsed="false">
      <c r="A15" s="4" t="s">
        <v>49</v>
      </c>
      <c r="B15" s="4" t="n">
        <v>3</v>
      </c>
      <c r="C15" s="5" t="n">
        <v>8</v>
      </c>
      <c r="D15" s="5" t="n">
        <v>0</v>
      </c>
      <c r="E15" s="4" t="n">
        <f aca="false">C15-D15</f>
        <v>8</v>
      </c>
      <c r="F15" s="6" t="n">
        <f aca="false">IF(C15=0,0,D15/C15)</f>
        <v>0</v>
      </c>
      <c r="G15" s="4" t="s">
        <v>50</v>
      </c>
      <c r="H15" s="4" t="s">
        <v>51</v>
      </c>
      <c r="I15" s="4" t="s">
        <v>52</v>
      </c>
    </row>
    <row r="16" customFormat="false" ht="15" hidden="false" customHeight="false" outlineLevel="0" collapsed="false">
      <c r="A16" s="4" t="s">
        <v>53</v>
      </c>
      <c r="B16" s="4" t="n">
        <v>3</v>
      </c>
      <c r="C16" s="5" t="n">
        <v>3</v>
      </c>
      <c r="D16" s="5" t="n">
        <v>0</v>
      </c>
      <c r="E16" s="4" t="n">
        <f aca="false">C16-D16</f>
        <v>3</v>
      </c>
      <c r="F16" s="6" t="n">
        <f aca="false">IF(C16=0,0,D16/C16)</f>
        <v>0</v>
      </c>
      <c r="G16" s="4" t="s">
        <v>54</v>
      </c>
      <c r="H16" s="4" t="s">
        <v>55</v>
      </c>
      <c r="I16" s="4" t="s">
        <v>56</v>
      </c>
    </row>
    <row r="17" customFormat="false" ht="15" hidden="false" customHeight="false" outlineLevel="0" collapsed="false">
      <c r="A17" s="4" t="s">
        <v>57</v>
      </c>
      <c r="B17" s="4" t="n">
        <v>4</v>
      </c>
      <c r="C17" s="5" t="n">
        <v>13</v>
      </c>
      <c r="D17" s="5" t="n">
        <v>0</v>
      </c>
      <c r="E17" s="4" t="n">
        <f aca="false">C17-D17</f>
        <v>13</v>
      </c>
      <c r="F17" s="6" t="n">
        <f aca="false">IF(C17=0,0,D17/C17)</f>
        <v>0</v>
      </c>
      <c r="G17" s="4" t="s">
        <v>58</v>
      </c>
      <c r="H17" s="4" t="s">
        <v>59</v>
      </c>
      <c r="I17" s="4" t="s">
        <v>60</v>
      </c>
    </row>
    <row r="18" customFormat="false" ht="15" hidden="false" customHeight="false" outlineLevel="0" collapsed="false">
      <c r="A18" s="4" t="s">
        <v>61</v>
      </c>
      <c r="B18" s="4" t="n">
        <v>4</v>
      </c>
      <c r="C18" s="5" t="n">
        <v>13</v>
      </c>
      <c r="D18" s="5" t="n">
        <v>0</v>
      </c>
      <c r="E18" s="4" t="n">
        <f aca="false">C18-D18</f>
        <v>13</v>
      </c>
      <c r="F18" s="6" t="n">
        <f aca="false">IF(C18=0,0,D18/C18)</f>
        <v>0</v>
      </c>
      <c r="G18" s="4" t="s">
        <v>58</v>
      </c>
      <c r="H18" s="4" t="s">
        <v>62</v>
      </c>
      <c r="I18" s="4" t="s">
        <v>60</v>
      </c>
    </row>
    <row r="19" customFormat="false" ht="15" hidden="false" customHeight="false" outlineLevel="0" collapsed="false">
      <c r="A19" s="4" t="s">
        <v>63</v>
      </c>
      <c r="B19" s="4" t="n">
        <v>3</v>
      </c>
      <c r="C19" s="5" t="n">
        <v>5</v>
      </c>
      <c r="D19" s="5" t="n">
        <v>0</v>
      </c>
      <c r="E19" s="4" t="n">
        <f aca="false">C19-D19</f>
        <v>5</v>
      </c>
      <c r="F19" s="6" t="n">
        <f aca="false">IF(C19=0,0,D19/C19)</f>
        <v>0</v>
      </c>
      <c r="G19" s="4" t="s">
        <v>64</v>
      </c>
      <c r="H19" s="4" t="s">
        <v>65</v>
      </c>
      <c r="I19" s="4" t="s">
        <v>66</v>
      </c>
    </row>
    <row r="21" customFormat="false" ht="15" hidden="false" customHeight="false" outlineLevel="0" collapsed="false">
      <c r="A21" s="7" t="s">
        <v>67</v>
      </c>
      <c r="B21" s="8" t="n">
        <f aca="false">SUM(C5:C19)</f>
        <v>118</v>
      </c>
    </row>
    <row r="22" customFormat="false" ht="15" hidden="false" customHeight="false" outlineLevel="0" collapsed="false">
      <c r="A22" s="7" t="s">
        <v>68</v>
      </c>
      <c r="B22" s="8" t="n">
        <f aca="false">SUM(D5:D19)</f>
        <v>0</v>
      </c>
    </row>
    <row r="23" customFormat="false" ht="15" hidden="false" customHeight="false" outlineLevel="0" collapsed="false">
      <c r="A23" s="7" t="s">
        <v>69</v>
      </c>
      <c r="B23" s="8" t="n">
        <f aca="false">SUM(E5:E19)</f>
        <v>118</v>
      </c>
    </row>
    <row r="24" customFormat="false" ht="15" hidden="false" customHeight="false" outlineLevel="0" collapsed="false">
      <c r="A24" s="7" t="s">
        <v>70</v>
      </c>
      <c r="B24" s="9" t="n">
        <f aca="false">IF(B21=0,0,B22/B21)</f>
        <v>0</v>
      </c>
    </row>
    <row r="25" customFormat="false" ht="15" hidden="false" customHeight="false" outlineLevel="0" collapsed="false">
      <c r="A25" s="7" t="s">
        <v>71</v>
      </c>
      <c r="B25" s="8" t="n">
        <f aca="false">SUMIF(B5:B19,1,E5:E19)</f>
        <v>42</v>
      </c>
    </row>
    <row r="26" customFormat="false" ht="15" hidden="false" customHeight="false" outlineLevel="0" collapsed="false">
      <c r="A26" s="7" t="s">
        <v>72</v>
      </c>
      <c r="B26" s="8" t="n">
        <f aca="false">SUMIF(B5:B19,2,E5:E19)</f>
        <v>34</v>
      </c>
    </row>
    <row r="27" customFormat="false" ht="15" hidden="false" customHeight="false" outlineLevel="0" collapsed="false">
      <c r="A27" s="7" t="s">
        <v>73</v>
      </c>
      <c r="B27" s="8" t="n">
        <f aca="false">SUMIF(B5:B19,3,E5:E19)</f>
        <v>16</v>
      </c>
    </row>
    <row r="28" customFormat="false" ht="15" hidden="false" customHeight="false" outlineLevel="0" collapsed="false">
      <c r="A28" s="7" t="s">
        <v>74</v>
      </c>
      <c r="B28" s="8" t="n">
        <f aca="false">SUMIF(B5:B19,4,E5:E19)</f>
        <v>26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&amp;LBLEEP-SDLC-012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0" t="s">
        <v>75</v>
      </c>
    </row>
    <row r="3" customFormat="false" ht="15" hidden="false" customHeight="false" outlineLevel="0" collapsed="false">
      <c r="A3" s="3" t="s">
        <v>3</v>
      </c>
      <c r="B3" s="3" t="s">
        <v>6</v>
      </c>
    </row>
    <row r="4" customFormat="false" ht="15" hidden="false" customHeight="false" outlineLevel="0" collapsed="false">
      <c r="A4" s="11" t="n">
        <v>1</v>
      </c>
      <c r="B4" s="8" t="n">
        <f aca="false">'Phase plan'!B25</f>
        <v>42</v>
      </c>
    </row>
    <row r="5" customFormat="false" ht="15" hidden="false" customHeight="false" outlineLevel="0" collapsed="false">
      <c r="A5" s="11" t="n">
        <v>2</v>
      </c>
      <c r="B5" s="8" t="n">
        <f aca="false">'Phase plan'!B26</f>
        <v>34</v>
      </c>
    </row>
    <row r="6" customFormat="false" ht="15" hidden="false" customHeight="false" outlineLevel="0" collapsed="false">
      <c r="A6" s="11" t="n">
        <v>3</v>
      </c>
      <c r="B6" s="8" t="n">
        <f aca="false">'Phase plan'!B27</f>
        <v>16</v>
      </c>
    </row>
    <row r="7" customFormat="false" ht="15" hidden="false" customHeight="false" outlineLevel="0" collapsed="false">
      <c r="A7" s="11" t="n">
        <v>4</v>
      </c>
      <c r="B7" s="8" t="n">
        <f aca="false">'Phase plan'!B28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2026-08-31T09:43:39Z</dcterms:created>
  <dc:creator>openpyxl</dc:creator>
  <dc:description/>
  <dc:language>en-US</dc:language>
  <cp:lastModifiedBy/>
  <dcterms:modified xsi:type="dcterms:W3CDTF">2026-08-31T09:44:05Z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